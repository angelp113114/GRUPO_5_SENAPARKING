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visible" name="Precios  (2)" sheetId="3" r:id="rId6"/>
    <sheet state="hidden" name="Soporte" sheetId="4" r:id="rId7"/>
  </sheets>
  <externalReferences>
    <externalReference r:id="rId8"/>
  </externalReferences>
  <definedNames/>
  <calcPr/>
  <extLst>
    <ext uri="GoogleSheetsCustomDataVersion2">
      <go:sheetsCustomData xmlns:go="http://customooxmlschemas.google.com/" r:id="rId9" roundtripDataChecksum="jz+Y6MnrDQdXwO4GnjY2x9KsCDKZ69B7QKd4IFtXJ+4="/>
    </ext>
  </extLst>
</workbook>
</file>

<file path=xl/sharedStrings.xml><?xml version="1.0" encoding="utf-8"?>
<sst xmlns="http://schemas.openxmlformats.org/spreadsheetml/2006/main" count="100" uniqueCount="67">
  <si>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</si>
  <si>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</si>
  <si>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</si>
  <si>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</si>
  <si>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</si>
  <si>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</si>
  <si>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PROVEEDOR 1</t>
  </si>
  <si>
    <t>PROVEEDOR 2</t>
  </si>
  <si>
    <t>PROVEEDOR 3</t>
  </si>
  <si>
    <t>PROVEEDOR 4</t>
  </si>
  <si>
    <t>PROVEEDOR 5</t>
  </si>
  <si>
    <t>PROVEEDOR 6</t>
  </si>
  <si>
    <t>PRECIO MÁS BAJO</t>
  </si>
  <si>
    <t>PRECIO PROMEDIO</t>
  </si>
  <si>
    <t>PRECIO MÁS ALTO</t>
  </si>
  <si>
    <t>Torre admin</t>
  </si>
  <si>
    <t>Monitor Admin</t>
  </si>
  <si>
    <t>Disco Solido Admin</t>
  </si>
  <si>
    <t>Disco Duro Interno Admin</t>
  </si>
  <si>
    <t>Servidor Admin</t>
  </si>
  <si>
    <t>Ram Admin</t>
  </si>
  <si>
    <t>Mouse Admin</t>
  </si>
  <si>
    <t>Teclado Admin</t>
  </si>
  <si>
    <t>Licencia Windows 11</t>
  </si>
  <si>
    <t>Total</t>
  </si>
  <si>
    <t>DATOS ADICIONALES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</si>
  <si>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</si>
  <si>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</si>
  <si>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</si>
  <si>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</si>
  <si>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</si>
  <si>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</si>
  <si>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</si>
  <si>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</si>
  <si>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</si>
  <si>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$287.497</t>
  </si>
  <si>
    <t>$295.39</t>
  </si>
  <si>
    <t>FORMAS DE PAGO</t>
  </si>
  <si>
    <t>contado</t>
  </si>
  <si>
    <t xml:space="preserve">Portatil Nosotros </t>
  </si>
  <si>
    <t>Monitor Nosotros</t>
  </si>
  <si>
    <t>Disco Duro Mecanico Nosotros</t>
  </si>
  <si>
    <t>Ram Nosotros</t>
  </si>
  <si>
    <t>Servidor Nosotros</t>
  </si>
  <si>
    <t>Tarjeta de Video Nosotros</t>
  </si>
  <si>
    <t>Procesador Nosotros</t>
  </si>
  <si>
    <t>Teclado Nosotros</t>
  </si>
  <si>
    <t>Mouse Nosotros</t>
  </si>
  <si>
    <t>Licencia Software</t>
  </si>
  <si>
    <t>Licencia Visual</t>
  </si>
  <si>
    <t>Licencia SQL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</si>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</sst>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\ #,##0.00;[Red]\-&quot;$&quot;\ #,##0.00"/>
  </numFmts>
  <fonts count="19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9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left/>
      <right/>
      <top/>
      <bottom style="medium">
        <color rgb="FFF2F2F2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medium">
        <color rgb="FF8745EC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medium">
        <color rgb="FF8745EC"/>
      </right>
      <top style="thin">
        <color theme="0"/>
      </top>
      <bottom/>
    </border>
    <border>
      <top style="dotted">
        <color rgb="FFF2F2F2"/>
      </top>
      <bottom style="medium">
        <color rgb="FFF2F2F2"/>
      </bottom>
    </border>
    <border>
      <left style="medium">
        <color rgb="FF8745EC"/>
      </left>
      <top/>
      <bottom/>
    </border>
    <border>
      <right style="medium">
        <color theme="0"/>
      </right>
      <top/>
      <bottom/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right/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 style="thin">
        <color theme="0"/>
      </left>
      <top style="thin">
        <color theme="0"/>
      </top>
    </border>
    <border>
      <right/>
      <top style="thin">
        <color theme="0"/>
      </top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theme="0"/>
      </left>
    </border>
    <border>
      <right/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</border>
    <border>
      <left style="thin">
        <color theme="0"/>
      </left>
      <bottom style="thin">
        <color theme="0"/>
      </bottom>
    </border>
    <border>
      <right/>
      <bottom style="thin">
        <color theme="0"/>
      </bottom>
    </border>
    <border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ont="1">
      <alignment horizontal="center" shrinkToFit="0" vertical="center" wrapText="1"/>
    </xf>
    <xf borderId="8" fillId="2" fontId="7" numFmtId="0" xfId="0" applyAlignment="1" applyBorder="1" applyFont="1">
      <alignment horizontal="center" shrinkToFit="0" vertical="center" wrapText="1"/>
    </xf>
    <xf borderId="9" fillId="2" fontId="7" numFmtId="0" xfId="0" applyAlignment="1" applyBorder="1" applyFont="1">
      <alignment horizontal="center" shrinkToFit="0" vertical="center" wrapText="1"/>
    </xf>
    <xf borderId="1" fillId="3" fontId="1" numFmtId="0" xfId="0" applyBorder="1" applyFont="1"/>
    <xf borderId="10" fillId="3" fontId="10" numFmtId="164" xfId="0" applyAlignment="1" applyBorder="1" applyFont="1" applyNumberFormat="1">
      <alignment horizontal="center" shrinkToFit="0" vertical="center" wrapText="1"/>
    </xf>
    <xf borderId="10" fillId="4" fontId="10" numFmtId="2" xfId="0" applyAlignment="1" applyBorder="1" applyFont="1" applyNumberFormat="1">
      <alignment horizontal="center" vertical="center"/>
    </xf>
    <xf borderId="10" fillId="3" fontId="10" numFmtId="164" xfId="0" applyAlignment="1" applyBorder="1" applyFont="1" applyNumberFormat="1">
      <alignment horizontal="center" vertical="center"/>
    </xf>
    <xf borderId="10" fillId="4" fontId="10" numFmtId="164" xfId="0" applyAlignment="1" applyBorder="1" applyFont="1" applyNumberFormat="1">
      <alignment horizontal="center" vertical="center"/>
    </xf>
    <xf borderId="1" fillId="4" fontId="11" numFmtId="164" xfId="0" applyAlignment="1" applyBorder="1" applyFont="1" applyNumberFormat="1">
      <alignment horizontal="center" vertical="center"/>
    </xf>
    <xf borderId="11" fillId="5" fontId="12" numFmtId="164" xfId="0" applyAlignment="1" applyBorder="1" applyFill="1" applyFont="1" applyNumberFormat="1">
      <alignment horizontal="center"/>
    </xf>
    <xf borderId="8" fillId="5" fontId="12" numFmtId="164" xfId="0" applyAlignment="1" applyBorder="1" applyFont="1" applyNumberFormat="1">
      <alignment horizontal="center"/>
    </xf>
    <xf borderId="9" fillId="5" fontId="12" numFmtId="164" xfId="0" applyAlignment="1" applyBorder="1" applyFont="1" applyNumberFormat="1">
      <alignment horizontal="center"/>
    </xf>
    <xf borderId="12" fillId="0" fontId="10" numFmtId="164" xfId="0" applyAlignment="1" applyBorder="1" applyFont="1" applyNumberFormat="1">
      <alignment horizontal="center" shrinkToFit="0" vertical="center" wrapText="1"/>
    </xf>
    <xf borderId="12" fillId="0" fontId="10" numFmtId="2" xfId="0" applyAlignment="1" applyBorder="1" applyFont="1" applyNumberFormat="1">
      <alignment horizontal="center" vertical="center"/>
    </xf>
    <xf borderId="12" fillId="0" fontId="10" numFmtId="164" xfId="0" applyAlignment="1" applyBorder="1" applyFont="1" applyNumberFormat="1">
      <alignment horizontal="center" vertical="center"/>
    </xf>
    <xf borderId="7" fillId="5" fontId="12" numFmtId="164" xfId="0" applyAlignment="1" applyBorder="1" applyFont="1" applyNumberFormat="1">
      <alignment horizontal="center"/>
    </xf>
    <xf borderId="0" fillId="0" fontId="13" numFmtId="0" xfId="0" applyFont="1"/>
    <xf borderId="13" fillId="5" fontId="12" numFmtId="164" xfId="0" applyAlignment="1" applyBorder="1" applyFont="1" applyNumberFormat="1">
      <alignment horizontal="center"/>
    </xf>
    <xf borderId="14" fillId="5" fontId="12" numFmtId="164" xfId="0" applyAlignment="1" applyBorder="1" applyFont="1" applyNumberFormat="1">
      <alignment horizontal="center"/>
    </xf>
    <xf borderId="15" fillId="5" fontId="12" numFmtId="164" xfId="0" applyAlignment="1" applyBorder="1" applyFont="1" applyNumberFormat="1">
      <alignment horizontal="center"/>
    </xf>
    <xf borderId="16" fillId="0" fontId="10" numFmtId="164" xfId="0" applyAlignment="1" applyBorder="1" applyFont="1" applyNumberFormat="1">
      <alignment horizontal="center" shrinkToFit="0" vertical="center" wrapText="1"/>
    </xf>
    <xf borderId="16" fillId="0" fontId="10" numFmtId="2" xfId="0" applyAlignment="1" applyBorder="1" applyFont="1" applyNumberFormat="1">
      <alignment horizontal="center" vertical="center"/>
    </xf>
    <xf borderId="16" fillId="0" fontId="10" numFmtId="164" xfId="0" applyAlignment="1" applyBorder="1" applyFont="1" applyNumberFormat="1">
      <alignment horizontal="center" vertical="center"/>
    </xf>
    <xf borderId="10" fillId="3" fontId="10" numFmtId="2" xfId="0" applyAlignment="1" applyBorder="1" applyFont="1" applyNumberFormat="1">
      <alignment horizontal="center" vertical="center"/>
    </xf>
    <xf borderId="1" fillId="3" fontId="10" numFmtId="164" xfId="0" applyAlignment="1" applyBorder="1" applyFont="1" applyNumberFormat="1">
      <alignment horizontal="center" vertical="center"/>
    </xf>
    <xf borderId="1" fillId="3" fontId="10" numFmtId="164" xfId="0" applyAlignment="1" applyBorder="1" applyFont="1" applyNumberFormat="1">
      <alignment horizontal="center"/>
    </xf>
    <xf borderId="1" fillId="5" fontId="11" numFmtId="0" xfId="0" applyAlignment="1" applyBorder="1" applyFont="1">
      <alignment horizontal="center" vertical="center"/>
    </xf>
    <xf borderId="10" fillId="5" fontId="11" numFmtId="164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17" fillId="2" fontId="7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19" fillId="0" fontId="9" numFmtId="0" xfId="0" applyAlignment="1" applyBorder="1" applyFont="1">
      <alignment horizontal="left" shrinkToFit="0" vertical="center" wrapText="1"/>
    </xf>
    <xf borderId="20" fillId="4" fontId="9" numFmtId="0" xfId="0" applyAlignment="1" applyBorder="1" applyFont="1">
      <alignment horizontal="center" shrinkToFit="0" vertical="center" wrapText="1"/>
    </xf>
    <xf borderId="21" fillId="0" fontId="8" numFmtId="0" xfId="0" applyBorder="1" applyFont="1"/>
    <xf borderId="22" fillId="0" fontId="14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26" fillId="0" fontId="10" numFmtId="164" xfId="0" applyAlignment="1" applyBorder="1" applyFont="1" applyNumberFormat="1">
      <alignment horizontal="center" vertical="center"/>
    </xf>
    <xf borderId="0" fillId="0" fontId="15" numFmtId="0" xfId="0" applyFont="1"/>
    <xf borderId="25" fillId="0" fontId="10" numFmtId="164" xfId="0" applyAlignment="1" applyBorder="1" applyFont="1" applyNumberFormat="1">
      <alignment horizontal="center" vertical="center"/>
    </xf>
    <xf borderId="27" fillId="0" fontId="10" numFmtId="0" xfId="0" applyAlignment="1" applyBorder="1" applyFont="1">
      <alignment horizontal="center" vertical="center"/>
    </xf>
    <xf borderId="28" fillId="4" fontId="9" numFmtId="0" xfId="0" applyAlignment="1" applyBorder="1" applyFont="1">
      <alignment horizontal="center" shrinkToFit="0" vertical="center" wrapText="1"/>
    </xf>
    <xf borderId="29" fillId="0" fontId="8" numFmtId="0" xfId="0" applyBorder="1" applyFont="1"/>
    <xf borderId="30" fillId="0" fontId="10" numFmtId="164" xfId="0" applyAlignment="1" applyBorder="1" applyFont="1" applyNumberFormat="1">
      <alignment horizontal="center" vertical="center"/>
    </xf>
    <xf borderId="31" fillId="0" fontId="10" numFmtId="164" xfId="0" applyAlignment="1" applyBorder="1" applyFont="1" applyNumberFormat="1">
      <alignment horizontal="center" vertical="center"/>
    </xf>
    <xf borderId="32" fillId="0" fontId="8" numFmtId="0" xfId="0" applyBorder="1" applyFont="1"/>
    <xf borderId="33" fillId="0" fontId="8" numFmtId="0" xfId="0" applyBorder="1" applyFont="1"/>
    <xf borderId="34" fillId="0" fontId="10" numFmtId="0" xfId="0" applyAlignment="1" applyBorder="1" applyFont="1">
      <alignment horizontal="center" vertical="center"/>
    </xf>
    <xf borderId="35" fillId="0" fontId="11" numFmtId="4" xfId="0" applyAlignment="1" applyBorder="1" applyFont="1" applyNumberFormat="1">
      <alignment horizontal="center" vertical="center"/>
    </xf>
    <xf borderId="34" fillId="0" fontId="11" numFmtId="4" xfId="0" applyAlignment="1" applyBorder="1" applyFont="1" applyNumberFormat="1">
      <alignment horizontal="center" vertical="center"/>
    </xf>
    <xf borderId="36" fillId="0" fontId="8" numFmtId="0" xfId="0" applyBorder="1" applyFont="1"/>
    <xf borderId="37" fillId="0" fontId="8" numFmtId="0" xfId="0" applyBorder="1" applyFont="1"/>
    <xf borderId="22" fillId="0" fontId="16" numFmtId="0" xfId="0" applyAlignment="1" applyBorder="1" applyFont="1">
      <alignment shrinkToFit="0" wrapText="1"/>
    </xf>
    <xf borderId="38" fillId="0" fontId="10" numFmtId="0" xfId="0" applyAlignment="1" applyBorder="1" applyFont="1">
      <alignment horizontal="center" vertical="center"/>
    </xf>
    <xf borderId="39" fillId="0" fontId="10" numFmtId="0" xfId="0" applyAlignment="1" applyBorder="1" applyFont="1">
      <alignment horizontal="center" vertical="center"/>
    </xf>
    <xf borderId="0" fillId="0" fontId="17" numFmtId="165" xfId="0" applyAlignment="1" applyFont="1" applyNumberFormat="1">
      <alignment shrinkToFit="0" vertical="center" wrapText="1"/>
    </xf>
    <xf borderId="40" fillId="0" fontId="17" numFmtId="165" xfId="0" applyAlignment="1" applyBorder="1" applyFont="1" applyNumberFormat="1">
      <alignment shrinkToFit="0" vertical="center" wrapText="1"/>
    </xf>
    <xf borderId="41" fillId="0" fontId="18" numFmtId="165" xfId="0" applyAlignment="1" applyBorder="1" applyFont="1" applyNumberFormat="1">
      <alignment shrinkToFit="0" vertical="center" wrapText="1"/>
    </xf>
    <xf borderId="42" fillId="0" fontId="17" numFmtId="165" xfId="0" applyAlignment="1" applyBorder="1" applyFont="1" applyNumberFormat="1">
      <alignment shrinkToFit="0" vertical="center" wrapText="1"/>
    </xf>
    <xf borderId="43" fillId="0" fontId="18" numFmtId="165" xfId="0" applyAlignment="1" applyBorder="1" applyFont="1" applyNumberFormat="1">
      <alignment shrinkToFit="0" vertical="center" wrapText="1"/>
    </xf>
    <xf borderId="1" fillId="3" fontId="10" numFmtId="164" xfId="0" applyAlignment="1" applyBorder="1" applyFont="1" applyNumberFormat="1">
      <alignment horizontal="center" readingOrder="0" vertical="center"/>
    </xf>
    <xf borderId="44" fillId="0" fontId="10" numFmtId="0" xfId="0" applyAlignment="1" applyBorder="1" applyFont="1">
      <alignment horizontal="center" vertical="center"/>
    </xf>
    <xf borderId="44" fillId="0" fontId="10" numFmtId="164" xfId="0" applyAlignment="1" applyBorder="1" applyFont="1" applyNumberFormat="1">
      <alignment horizontal="center" vertical="center"/>
    </xf>
    <xf borderId="45" fillId="0" fontId="10" numFmtId="0" xfId="0" applyAlignment="1" applyBorder="1" applyFont="1">
      <alignment horizontal="center" vertical="center"/>
    </xf>
    <xf borderId="45" fillId="0" fontId="11" numFmtId="4" xfId="0" applyAlignment="1" applyBorder="1" applyFont="1" applyNumberFormat="1">
      <alignment horizontal="center" vertical="center"/>
    </xf>
    <xf borderId="46" fillId="0" fontId="10" numFmtId="0" xfId="0" applyAlignment="1" applyBorder="1" applyFont="1">
      <alignment horizontal="center" vertical="center"/>
    </xf>
    <xf borderId="16" fillId="0" fontId="10" numFmtId="164" xfId="0" applyAlignment="1" applyBorder="1" applyFont="1" applyNumberFormat="1">
      <alignment horizontal="center" vertical="center"/>
    </xf>
    <xf borderId="16" fillId="0" fontId="10" numFmtId="2" xfId="0" applyAlignment="1" applyBorder="1" applyFont="1" applyNumberFormat="1">
      <alignment horizontal="center" vertical="center"/>
    </xf>
    <xf borderId="0" fillId="0" fontId="17" numFmtId="0" xfId="0" applyFont="1"/>
    <xf borderId="47" fillId="6" fontId="18" numFmtId="165" xfId="0" applyAlignment="1" applyBorder="1" applyFill="1" applyFont="1" applyNumberFormat="1">
      <alignment shrinkToFit="0" vertical="center" wrapText="1"/>
    </xf>
    <xf borderId="48" fillId="6" fontId="18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2">
    <tableStyle count="4" pivot="0" name="Precios -style">
      <tableStyleElement dxfId="3" type="headerRow"/>
      <tableStyleElement dxfId="4" type="firstRowStripe"/>
      <tableStyleElement dxfId="4" type="secondRowStripe"/>
      <tableStyleElement dxfId="5" type="totalRow"/>
    </tableStyle>
    <tableStyle count="4" pivot="0" name="Precios  (2)-style">
      <tableStyleElement dxfId="3" type="headerRow"/>
      <tableStyleElement dxfId="4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</xdr:row>
      <xdr:rowOff>142875</xdr:rowOff>
    </xdr:from>
    <xdr:ext cx="8010525" cy="6124575"/>
    <xdr:sp>
      <xdr:nvSpPr>
        <xdr:cNvPr id="3" name="Shape 3"/>
        <xdr:cNvSpPr txBox="1"/>
      </xdr:nvSpPr>
      <xdr:spPr>
        <a:xfrm>
          <a:off x="1340738" y="722475"/>
          <a:ext cx="8010525" cy="61150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76200</xdr:colOff>
      <xdr:row>0</xdr:row>
      <xdr:rowOff>104775</xdr:rowOff>
    </xdr:from>
    <xdr:ext cx="6610350" cy="752475"/>
    <xdr:sp>
      <xdr:nvSpPr>
        <xdr:cNvPr id="4" name="Shape 4"/>
        <xdr:cNvSpPr txBox="1"/>
      </xdr:nvSpPr>
      <xdr:spPr>
        <a:xfrm>
          <a:off x="2045588" y="3408525"/>
          <a:ext cx="660082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419100</xdr:colOff>
      <xdr:row>0</xdr:row>
      <xdr:rowOff>104775</xdr:rowOff>
    </xdr:from>
    <xdr:ext cx="2000250" cy="752475"/>
    <xdr:sp>
      <xdr:nvSpPr>
        <xdr:cNvPr id="5" name="Shape 5"/>
        <xdr:cNvSpPr txBox="1"/>
      </xdr:nvSpPr>
      <xdr:spPr>
        <a:xfrm>
          <a:off x="4350638" y="3408525"/>
          <a:ext cx="1990725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77150" cy="742950"/>
    <xdr:sp>
      <xdr:nvSpPr>
        <xdr:cNvPr id="6" name="Shape 6"/>
        <xdr:cNvSpPr txBox="1"/>
      </xdr:nvSpPr>
      <xdr:spPr>
        <a:xfrm>
          <a:off x="1512188" y="3413288"/>
          <a:ext cx="7667625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1104900</xdr:colOff>
      <xdr:row>1</xdr:row>
      <xdr:rowOff>142875</xdr:rowOff>
    </xdr:from>
    <xdr:ext cx="3009900" cy="466725"/>
    <xdr:sp>
      <xdr:nvSpPr>
        <xdr:cNvPr id="7" name="Shape 7"/>
        <xdr:cNvSpPr txBox="1"/>
      </xdr:nvSpPr>
      <xdr:spPr>
        <a:xfrm>
          <a:off x="3845813" y="3551400"/>
          <a:ext cx="3000375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86675" cy="742950"/>
    <xdr:sp>
      <xdr:nvSpPr>
        <xdr:cNvPr id="8" name="Shape 8"/>
        <xdr:cNvSpPr txBox="1"/>
      </xdr:nvSpPr>
      <xdr:spPr>
        <a:xfrm>
          <a:off x="1507425" y="3413288"/>
          <a:ext cx="7677150" cy="7334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</a:t>
          </a: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142875</xdr:rowOff>
    </xdr:from>
    <xdr:ext cx="3009900" cy="466725"/>
    <xdr:sp>
      <xdr:nvSpPr>
        <xdr:cNvPr id="9" name="Shape 9"/>
        <xdr:cNvSpPr txBox="1"/>
      </xdr:nvSpPr>
      <xdr:spPr>
        <a:xfrm>
          <a:off x="3845813" y="3551400"/>
          <a:ext cx="3000375" cy="4572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Cuadro-de-Cotizacion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rre admin"/>
      <sheetName val="Monitor Admin"/>
      <sheetName val="DiscoSolido Admin"/>
      <sheetName val="Disco duro interno Admin"/>
      <sheetName val="Servidor Admin"/>
      <sheetName val="ram Admin"/>
      <sheetName val="Mouse Admin"/>
      <sheetName val="Teclado Admin"/>
      <sheetName val="Portatil Nosotros"/>
      <sheetName val="Monitor Nosotros"/>
      <sheetName val=" Disco mecanico Nosotros"/>
      <sheetName val=" ram nosotros"/>
      <sheetName val="Servidor Nosotros"/>
      <sheetName val="Tarjeta de video nosotros"/>
      <sheetName val="Procesador Nosotros"/>
      <sheetName val="Teclado nosostros "/>
      <sheetName val="Mouse nosotros"/>
      <sheetName val="software licencia"/>
      <sheetName val="licencia visual"/>
      <sheetName val="windows 11 licencia"/>
      <sheetName val="licencia SQL"/>
      <sheetName val="Mause Admin"/>
      <sheetName val=" Servidor Nosotros"/>
      <sheetName val="Muse nosot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totalsRowCount="1" ref="B8:L26" displayName="Table_1" name="Table_1" id="1">
  <tableColumns count="11">
    <tableColumn totalsRowLabel="Total" name="PRODUCTO" id="1"/>
    <tableColumn name="CANTIDAD" id="2"/>
    <tableColumn totalsRowFunction="custom" name="PROVEEDOR 1" id="3"/>
    <tableColumn totalsRowFunction="custom" name="PROVEEDOR 2" id="4"/>
    <tableColumn totalsRowFunction="custom" name="PROVEEDOR 3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ables/table2.xml><?xml version="1.0" encoding="utf-8"?>
<table xmlns="http://schemas.openxmlformats.org/spreadsheetml/2006/main" totalsRowCount="1" ref="B8:L25" displayName="Table_2" name="Table_2" id="2">
  <tableColumns count="11">
    <tableColumn totalsRowLabel="Total" name="PRODUCTO" id="1"/>
    <tableColumn name="CANTIDAD" id="2"/>
    <tableColumn totalsRowFunction="custom" name="PROVEEDOR 1" id="3"/>
    <tableColumn totalsRowFunction="custom" name="PROVEEDOR 2" id="4"/>
    <tableColumn totalsRowFunction="custom" name="PROVEEDOR 3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6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5" t="s">
        <v>12</v>
      </c>
      <c r="K8" s="16" t="s">
        <v>13</v>
      </c>
      <c r="L8" s="17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14.0" customHeight="1">
      <c r="A9" s="18"/>
      <c r="B9" s="19" t="s">
        <v>15</v>
      </c>
      <c r="C9" s="20">
        <v>1.0</v>
      </c>
      <c r="D9" s="21">
        <v>354000.0</v>
      </c>
      <c r="E9" s="22">
        <v>650000.0</v>
      </c>
      <c r="F9" s="22">
        <v>892000.0</v>
      </c>
      <c r="G9" s="22"/>
      <c r="H9" s="22"/>
      <c r="I9" s="23"/>
      <c r="J9" s="24">
        <f>MIN('Precios '!$D9:$I9)</f>
        <v>354000</v>
      </c>
      <c r="K9" s="25">
        <f>IFERROR(AVERAGE('Precios '!$D9:$I9),0)</f>
        <v>632000</v>
      </c>
      <c r="L9" s="26">
        <f>MAX('Precios '!$D9:$I9)</f>
        <v>892000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3.0" customHeight="1">
      <c r="A10" s="18"/>
      <c r="B10" s="27" t="s">
        <v>16</v>
      </c>
      <c r="C10" s="28">
        <v>1.0</v>
      </c>
      <c r="D10" s="29">
        <v>898997.0</v>
      </c>
      <c r="E10" s="29">
        <v>1063176.0</v>
      </c>
      <c r="F10" s="29">
        <v>578900.0</v>
      </c>
      <c r="G10" s="29"/>
      <c r="H10" s="29"/>
      <c r="I10" s="29"/>
      <c r="J10" s="30">
        <f>MIN('Precios '!$D10:$I10)</f>
        <v>578900</v>
      </c>
      <c r="K10" s="25">
        <f>IFERROR(AVERAGE('Precios '!$D10:$I10),0)</f>
        <v>847024.3333</v>
      </c>
      <c r="L10" s="26">
        <f>MAX('Precios '!$D10:$I10)</f>
        <v>1063176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0.0" customHeight="1">
      <c r="A11" s="18"/>
      <c r="B11" s="27" t="s">
        <v>17</v>
      </c>
      <c r="C11" s="28">
        <v>1.0</v>
      </c>
      <c r="D11" s="29">
        <v>298919.0</v>
      </c>
      <c r="E11" s="29">
        <v>304888.0</v>
      </c>
      <c r="F11" s="29">
        <v>263224.0</v>
      </c>
      <c r="G11" s="29"/>
      <c r="H11" s="29"/>
      <c r="I11" s="29"/>
      <c r="J11" s="30">
        <f>MIN('Precios '!$D11:$I11)</f>
        <v>263224</v>
      </c>
      <c r="K11" s="25">
        <f>IFERROR(AVERAGE('Precios '!$D11:$I11),0)</f>
        <v>289010.3333</v>
      </c>
      <c r="L11" s="26">
        <f>MAX('Precios '!$D11:$I11)</f>
        <v>304888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18"/>
      <c r="B12" s="27" t="s">
        <v>18</v>
      </c>
      <c r="C12" s="28">
        <v>1.0</v>
      </c>
      <c r="D12" s="29">
        <v>449900.0</v>
      </c>
      <c r="E12" s="29">
        <v>329900.0</v>
      </c>
      <c r="F12" s="29">
        <v>287999.0</v>
      </c>
      <c r="G12" s="29"/>
      <c r="H12" s="29"/>
      <c r="I12" s="29"/>
      <c r="J12" s="30">
        <f>MIN('Precios '!$D12:$I12)</f>
        <v>287999</v>
      </c>
      <c r="K12" s="25">
        <f>IFERROR(AVERAGE('Precios '!$D12:$I12),0)</f>
        <v>355933</v>
      </c>
      <c r="L12" s="26">
        <f>MAX('Precios '!$D12:$I12)</f>
        <v>449900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8"/>
      <c r="B13" s="27" t="s">
        <v>19</v>
      </c>
      <c r="C13" s="28">
        <v>1.0</v>
      </c>
      <c r="D13" s="29">
        <v>5710001.0</v>
      </c>
      <c r="E13" s="29">
        <v>7000000.0</v>
      </c>
      <c r="F13" s="29">
        <v>1.0571799E7</v>
      </c>
      <c r="G13" s="29"/>
      <c r="H13" s="29"/>
      <c r="I13" s="29"/>
      <c r="J13" s="30">
        <f>MIN('Precios '!$D13:$I13)</f>
        <v>5710001</v>
      </c>
      <c r="K13" s="25">
        <f>IFERROR(AVERAGE('Precios '!$D13:$I13),0)</f>
        <v>7760600</v>
      </c>
      <c r="L13" s="26">
        <f>MAX('Precios '!$D13:$I13)</f>
        <v>10571799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65.0" customHeight="1">
      <c r="A14" s="18"/>
      <c r="B14" s="27" t="s">
        <v>20</v>
      </c>
      <c r="C14" s="28">
        <v>1.0</v>
      </c>
      <c r="D14" s="29">
        <v>95874.0</v>
      </c>
      <c r="E14" s="29">
        <v>158114.0</v>
      </c>
      <c r="F14" s="29">
        <v>175045.0</v>
      </c>
      <c r="G14" s="29"/>
      <c r="H14" s="29"/>
      <c r="I14" s="29"/>
      <c r="J14" s="30">
        <f>MIN('Precios '!$D14:$I14)</f>
        <v>95874</v>
      </c>
      <c r="K14" s="25">
        <f>IFERROR(AVERAGE('Precios '!$D14:$I14),0)</f>
        <v>143011</v>
      </c>
      <c r="L14" s="26">
        <f>MAX('Precios '!$D14:$I14)</f>
        <v>175045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31"/>
      <c r="B15" s="27" t="s">
        <v>21</v>
      </c>
      <c r="C15" s="28">
        <v>1.0</v>
      </c>
      <c r="D15" s="29">
        <v>23900.0</v>
      </c>
      <c r="E15" s="29">
        <v>93000.0</v>
      </c>
      <c r="F15" s="29">
        <v>138674.0</v>
      </c>
      <c r="G15" s="29"/>
      <c r="H15" s="29"/>
      <c r="I15" s="29"/>
      <c r="J15" s="32">
        <f>MIN('Precios '!$D15:$I15)</f>
        <v>23900</v>
      </c>
      <c r="K15" s="33">
        <f>IFERROR(AVERAGE('Precios '!$D15:$I15),0)</f>
        <v>85191.33333</v>
      </c>
      <c r="L15" s="34">
        <f>MAX('Precios '!$D15:$I15)</f>
        <v>138674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75" customHeight="1">
      <c r="A16" s="31"/>
      <c r="B16" s="35" t="s">
        <v>22</v>
      </c>
      <c r="C16" s="36">
        <v>1.0</v>
      </c>
      <c r="D16" s="37">
        <v>96601.0</v>
      </c>
      <c r="E16" s="37">
        <v>103768.0</v>
      </c>
      <c r="F16" s="37">
        <v>189900.0</v>
      </c>
      <c r="G16" s="37"/>
      <c r="H16" s="37"/>
      <c r="I16" s="37"/>
      <c r="J16" s="32">
        <f>MIN('Precios '!$D16:$I16)</f>
        <v>96601</v>
      </c>
      <c r="K16" s="25">
        <f>IFERROR(AVERAGE('Precios '!$D16:$I16),0)</f>
        <v>130089.6667</v>
      </c>
      <c r="L16" s="26">
        <f>MAX('Precios '!$D16:$I16)</f>
        <v>189900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75" customHeight="1">
      <c r="A17" s="31"/>
      <c r="B17" s="35" t="s">
        <v>23</v>
      </c>
      <c r="C17" s="36">
        <v>1.0</v>
      </c>
      <c r="D17" s="37">
        <v>42900.0</v>
      </c>
      <c r="E17" s="37">
        <v>83194.0</v>
      </c>
      <c r="F17" s="37">
        <v>47500.0</v>
      </c>
      <c r="G17" s="37"/>
      <c r="H17" s="37"/>
      <c r="I17" s="37"/>
      <c r="J17" s="32">
        <f>MIN('Precios '!$D17:$I17)</f>
        <v>42900</v>
      </c>
      <c r="K17" s="25">
        <f>IFERROR(AVERAGE('Precios '!$D17:$I17),0)</f>
        <v>57864.66667</v>
      </c>
      <c r="L17" s="26">
        <f>MAX('Precios '!$D17:$I17)</f>
        <v>83194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2.75" customHeight="1">
      <c r="A18" s="31"/>
      <c r="B18" s="35"/>
      <c r="C18" s="36"/>
      <c r="D18" s="37"/>
      <c r="E18" s="37"/>
      <c r="F18" s="37"/>
      <c r="G18" s="37"/>
      <c r="H18" s="37"/>
      <c r="I18" s="37"/>
      <c r="J18" s="32"/>
      <c r="K18" s="33"/>
      <c r="L18" s="34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75" customHeight="1">
      <c r="A19" s="31"/>
      <c r="B19" s="21"/>
      <c r="C19" s="38"/>
      <c r="D19" s="39"/>
      <c r="E19" s="39"/>
      <c r="F19" s="39"/>
      <c r="G19" s="39"/>
      <c r="H19" s="21"/>
      <c r="I19" s="40"/>
      <c r="J19" s="32"/>
      <c r="K19" s="25"/>
      <c r="L19" s="2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2.75" customHeight="1">
      <c r="A20" s="31"/>
      <c r="B20" s="21"/>
      <c r="C20" s="38"/>
      <c r="D20" s="39"/>
      <c r="E20" s="39"/>
      <c r="F20" s="39"/>
      <c r="G20" s="39"/>
      <c r="H20" s="21"/>
      <c r="I20" s="40"/>
      <c r="J20" s="32">
        <f>SUM(J9:J19)</f>
        <v>7453399</v>
      </c>
      <c r="K20" s="25">
        <f>SUM(K6:K19)</f>
        <v>10300724.33</v>
      </c>
      <c r="L20" s="26">
        <f>SUM(L9:L19)</f>
        <v>13868576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2.75" customHeight="1">
      <c r="A21" s="31"/>
      <c r="B21" s="21"/>
      <c r="C21" s="38"/>
      <c r="D21" s="39"/>
      <c r="E21" s="39"/>
      <c r="F21" s="39"/>
      <c r="G21" s="39"/>
      <c r="H21" s="21"/>
      <c r="I21" s="40"/>
      <c r="J21" s="32"/>
      <c r="K21" s="25"/>
      <c r="L21" s="26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75" customHeight="1">
      <c r="A22" s="31"/>
      <c r="B22" s="21"/>
      <c r="C22" s="38"/>
      <c r="D22" s="39"/>
      <c r="E22" s="39"/>
      <c r="F22" s="39"/>
      <c r="G22" s="39"/>
      <c r="H22" s="21"/>
      <c r="I22" s="40"/>
      <c r="J22" s="32"/>
      <c r="K22" s="25"/>
      <c r="L22" s="2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75" customHeight="1">
      <c r="A23" s="31"/>
      <c r="B23" s="21"/>
      <c r="C23" s="38"/>
      <c r="D23" s="39"/>
      <c r="E23" s="39"/>
      <c r="F23" s="39"/>
      <c r="G23" s="39"/>
      <c r="H23" s="21"/>
      <c r="I23" s="40"/>
      <c r="J23" s="32"/>
      <c r="K23" s="25"/>
      <c r="L23" s="26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75" customHeight="1">
      <c r="A24" s="31"/>
      <c r="B24" s="21"/>
      <c r="C24" s="38"/>
      <c r="D24" s="39"/>
      <c r="E24" s="39"/>
      <c r="F24" s="39"/>
      <c r="G24" s="39"/>
      <c r="H24" s="21"/>
      <c r="I24" s="40"/>
      <c r="J24" s="32"/>
      <c r="K24" s="25"/>
      <c r="L24" s="2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2.75" customHeight="1">
      <c r="A25" s="31"/>
      <c r="B25" s="21"/>
      <c r="C25" s="38"/>
      <c r="D25" s="39"/>
      <c r="E25" s="39"/>
      <c r="F25" s="39"/>
      <c r="G25" s="39"/>
      <c r="H25" s="21"/>
      <c r="I25" s="40"/>
      <c r="J25" s="32"/>
      <c r="K25" s="25"/>
      <c r="L25" s="26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2.75" customHeight="1">
      <c r="A26" s="31"/>
      <c r="B26" s="41" t="s">
        <v>24</v>
      </c>
      <c r="C26" s="41"/>
      <c r="D26" s="42">
        <f>ROUND(SUMPRODUCT('Precios '!$C$9:$C$25,'Precios '!$D$9:$D$25),2)</f>
        <v>7971092</v>
      </c>
      <c r="E26" s="42">
        <f>ROUND(SUMPRODUCT('Precios '!$C$9:$C$25,'Precios '!$E$9:$E$25),2)</f>
        <v>9786040</v>
      </c>
      <c r="F26" s="42">
        <f>ROUND(SUMPRODUCT('Precios '!$C$9:$C$25,'Precios '!$F$9:$F$25),2)</f>
        <v>13145041</v>
      </c>
      <c r="G26" s="42">
        <f>ROUND(SUMPRODUCT('Precios '!$C$9:$C$25,'Precios '!$G$9:$G$25),2)</f>
        <v>0</v>
      </c>
      <c r="H26" s="42">
        <f>ROUND(SUMPRODUCT('Precios '!$C$9:$C$25,'Precios '!$H$9:$H$25),2)</f>
        <v>0</v>
      </c>
      <c r="I26" s="42">
        <f>ROUND(SUMPRODUCT('Precios '!$C$9:$C$25,'Precios '!$I$9:$I$25),2)</f>
        <v>0</v>
      </c>
      <c r="J26" s="43"/>
      <c r="K26" s="43"/>
      <c r="L26" s="44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2.75" customHeight="1">
      <c r="A27" s="31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48.0" customHeight="1">
      <c r="A28" s="31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33.0" customHeight="1">
      <c r="A29" s="31"/>
      <c r="B29" s="45" t="s">
        <v>25</v>
      </c>
      <c r="C29" s="46"/>
      <c r="D29" s="47"/>
      <c r="E29" s="47"/>
      <c r="F29" s="47"/>
      <c r="G29" s="47"/>
      <c r="H29" s="47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5.5" customHeight="1">
      <c r="A30" s="31"/>
      <c r="B30" s="48" t="s">
        <v>26</v>
      </c>
      <c r="C30" s="49"/>
      <c r="D30" s="50" t="s">
        <v>27</v>
      </c>
      <c r="E30" s="51" t="s">
        <v>28</v>
      </c>
      <c r="F30" s="52" t="s">
        <v>29</v>
      </c>
      <c r="G30" s="53" t="s">
        <v>30</v>
      </c>
      <c r="H30" s="51" t="s">
        <v>31</v>
      </c>
      <c r="I30" s="54" t="s">
        <v>32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8.0" customHeight="1">
      <c r="A31" s="31"/>
      <c r="B31" s="48" t="s">
        <v>33</v>
      </c>
      <c r="C31" s="49"/>
      <c r="D31" s="55">
        <v>0.0</v>
      </c>
      <c r="E31" s="56" t="s">
        <v>34</v>
      </c>
      <c r="F31" s="57" t="s">
        <v>35</v>
      </c>
      <c r="G31" s="58">
        <v>0.0</v>
      </c>
      <c r="H31" s="57" t="s">
        <v>36</v>
      </c>
      <c r="I31" s="57">
        <v>0.0</v>
      </c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2.75" customHeight="1">
      <c r="A32" s="31"/>
      <c r="B32" s="59" t="s">
        <v>37</v>
      </c>
      <c r="C32" s="60"/>
      <c r="D32" s="61"/>
      <c r="E32" s="62"/>
      <c r="F32" s="62"/>
      <c r="G32" s="62"/>
      <c r="H32" s="62"/>
      <c r="I32" s="62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2.75" customHeight="1">
      <c r="A33" s="31"/>
      <c r="B33" s="63"/>
      <c r="C33" s="64"/>
      <c r="D33" s="65"/>
      <c r="E33" s="65"/>
      <c r="F33" s="65"/>
      <c r="G33" s="65"/>
      <c r="H33" s="65"/>
      <c r="I33" s="65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2.75" customHeight="1">
      <c r="A34" s="5"/>
      <c r="B34" s="63"/>
      <c r="C34" s="64"/>
      <c r="D34" s="66" t="s">
        <v>38</v>
      </c>
      <c r="E34" s="67" t="s">
        <v>38</v>
      </c>
      <c r="F34" s="67" t="s">
        <v>38</v>
      </c>
      <c r="G34" s="67" t="s">
        <v>38</v>
      </c>
      <c r="H34" s="67" t="s">
        <v>38</v>
      </c>
      <c r="I34" s="67" t="s">
        <v>38</v>
      </c>
      <c r="J34" s="31"/>
      <c r="K34" s="31"/>
      <c r="L34" s="3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68"/>
      <c r="C35" s="69"/>
      <c r="D35" s="70"/>
      <c r="E35" s="71"/>
      <c r="F35" s="72"/>
      <c r="G35" s="72"/>
      <c r="H35" s="72"/>
      <c r="I35" s="72"/>
      <c r="J35" s="3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73"/>
      <c r="E38" s="73"/>
      <c r="F38" s="74"/>
      <c r="G38" s="75"/>
      <c r="H38" s="76"/>
      <c r="I38" s="73"/>
      <c r="J38" s="6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73"/>
      <c r="E39" s="73"/>
      <c r="F39" s="74"/>
      <c r="G39" s="77"/>
      <c r="H39" s="76"/>
      <c r="I39" s="73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73"/>
      <c r="E40" s="73"/>
      <c r="F40" s="74"/>
      <c r="G40" s="77"/>
      <c r="H40" s="76"/>
      <c r="I40" s="73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73"/>
      <c r="E41" s="73"/>
      <c r="F41" s="74"/>
      <c r="G41" s="77"/>
      <c r="H41" s="76"/>
      <c r="I41" s="73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73"/>
      <c r="E42" s="73"/>
      <c r="F42" s="74"/>
      <c r="G42" s="77"/>
      <c r="H42" s="76"/>
      <c r="I42" s="73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73"/>
      <c r="E43" s="73"/>
      <c r="F43" s="74"/>
      <c r="G43" s="77"/>
      <c r="H43" s="76"/>
      <c r="I43" s="73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9:C29"/>
    <mergeCell ref="B30:C30"/>
    <mergeCell ref="B31:C31"/>
    <mergeCell ref="B32:C35"/>
  </mergeCells>
  <conditionalFormatting sqref="B8:C9 D26:I26">
    <cfRule type="expression" dxfId="0" priority="1">
      <formula>AND(B$26=MIN($D$26:$I$26),B$26&lt;&gt;0)</formula>
    </cfRule>
  </conditionalFormatting>
  <conditionalFormatting sqref="D8:I9">
    <cfRule type="expression" dxfId="0" priority="2">
      <formula>AND(D$26=MIN($D$26:$I$26),D$26&lt;&gt;0)</formula>
    </cfRule>
  </conditionalFormatting>
  <conditionalFormatting sqref="D9:I25">
    <cfRule type="expression" dxfId="1" priority="3">
      <formula>AND(D$26=MIN($D$26:$I$26),D$26&lt;&gt;0)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5.0"/>
    <col customWidth="1" min="5" max="5" width="34.33"/>
    <col customWidth="1" min="6" max="6" width="25.17"/>
    <col customWidth="1" min="7" max="9" width="22.17"/>
    <col customWidth="1" min="10" max="10" width="31.17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5" t="s">
        <v>12</v>
      </c>
      <c r="K8" s="16" t="s">
        <v>13</v>
      </c>
      <c r="L8" s="17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8"/>
      <c r="B9" s="27" t="s">
        <v>39</v>
      </c>
      <c r="C9" s="28">
        <v>1.0</v>
      </c>
      <c r="D9" s="29">
        <v>1899030.0</v>
      </c>
      <c r="E9" s="29">
        <v>1949900.0</v>
      </c>
      <c r="F9" s="29">
        <v>1649030.0</v>
      </c>
      <c r="G9" s="29"/>
      <c r="H9" s="29"/>
      <c r="I9" s="29"/>
      <c r="J9" s="30">
        <f t="shared" ref="J9:J21" si="1">MIN(D9:F9)</f>
        <v>1649030</v>
      </c>
      <c r="K9" s="25">
        <f>IFERROR(AVERAGE('Precios  (2)'!$D9:$I9),0)</f>
        <v>1832653.333</v>
      </c>
      <c r="L9" s="26">
        <f>MAX('Precios  (2)'!$D9:$I9)</f>
        <v>1949900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2.75" customHeight="1">
      <c r="A10" s="18"/>
      <c r="B10" s="27" t="s">
        <v>40</v>
      </c>
      <c r="C10" s="28">
        <v>1.0</v>
      </c>
      <c r="D10" s="29">
        <v>399001.0</v>
      </c>
      <c r="E10" s="29">
        <v>1063176.0</v>
      </c>
      <c r="F10" s="29">
        <v>578900.0</v>
      </c>
      <c r="G10" s="29"/>
      <c r="H10" s="29"/>
      <c r="I10" s="29"/>
      <c r="J10" s="30">
        <f t="shared" si="1"/>
        <v>399001</v>
      </c>
      <c r="K10" s="25">
        <f>IFERROR(AVERAGE('Precios  (2)'!$D10:$I10),0)</f>
        <v>680359</v>
      </c>
      <c r="L10" s="26">
        <f>MAX('Precios  (2)'!$D10:$I10)</f>
        <v>1063176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2.75" customHeight="1">
      <c r="A11" s="18"/>
      <c r="B11" s="27" t="s">
        <v>41</v>
      </c>
      <c r="C11" s="28">
        <v>1.0</v>
      </c>
      <c r="D11" s="29">
        <v>289919.0</v>
      </c>
      <c r="E11" s="29">
        <v>304888.0</v>
      </c>
      <c r="F11" s="29">
        <v>263224.0</v>
      </c>
      <c r="G11" s="29"/>
      <c r="H11" s="29"/>
      <c r="I11" s="29"/>
      <c r="J11" s="30">
        <f t="shared" si="1"/>
        <v>263224</v>
      </c>
      <c r="K11" s="25">
        <f>IFERROR(AVERAGE('Precios  (2)'!$D11:$I11),0)</f>
        <v>286010.3333</v>
      </c>
      <c r="L11" s="26">
        <f>MAX('Precios  (2)'!$D11:$I11)</f>
        <v>304888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2.75" customHeight="1">
      <c r="A12" s="18"/>
      <c r="B12" s="27" t="s">
        <v>42</v>
      </c>
      <c r="C12" s="28">
        <v>1.0</v>
      </c>
      <c r="D12" s="29">
        <v>77683.0</v>
      </c>
      <c r="E12" s="29">
        <v>349675.0</v>
      </c>
      <c r="F12" s="29">
        <v>244616.0</v>
      </c>
      <c r="G12" s="29"/>
      <c r="H12" s="29"/>
      <c r="I12" s="29"/>
      <c r="J12" s="30">
        <f t="shared" si="1"/>
        <v>77683</v>
      </c>
      <c r="K12" s="25">
        <f>IFERROR(AVERAGE('Precios  (2)'!$D12:$I12),0)</f>
        <v>223991.3333</v>
      </c>
      <c r="L12" s="26">
        <f>MAX('Precios  (2)'!$D12:$I12)</f>
        <v>349675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2.75" customHeight="1">
      <c r="A13" s="18"/>
      <c r="B13" s="27" t="s">
        <v>43</v>
      </c>
      <c r="C13" s="28">
        <v>1.0</v>
      </c>
      <c r="D13" s="29">
        <v>5710001.0</v>
      </c>
      <c r="E13" s="29">
        <v>7000000.0</v>
      </c>
      <c r="F13" s="29">
        <v>1.0571799E7</v>
      </c>
      <c r="G13" s="29"/>
      <c r="H13" s="29"/>
      <c r="I13" s="29"/>
      <c r="J13" s="30">
        <f t="shared" si="1"/>
        <v>5710001</v>
      </c>
      <c r="K13" s="25">
        <f>IFERROR(AVERAGE('Precios  (2)'!$D13:$I13),0)</f>
        <v>7760600</v>
      </c>
      <c r="L13" s="26">
        <f>MAX('Precios  (2)'!$D13:$I13)</f>
        <v>10571799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2.75" customHeight="1">
      <c r="A14" s="18"/>
      <c r="B14" s="27" t="s">
        <v>44</v>
      </c>
      <c r="C14" s="28">
        <v>1.0</v>
      </c>
      <c r="D14" s="29">
        <v>1199001.0</v>
      </c>
      <c r="E14" s="29">
        <v>1363866.0</v>
      </c>
      <c r="F14" s="29">
        <v>766261.0</v>
      </c>
      <c r="G14" s="29"/>
      <c r="H14" s="29"/>
      <c r="I14" s="29"/>
      <c r="J14" s="30">
        <f t="shared" si="1"/>
        <v>766261</v>
      </c>
      <c r="K14" s="33">
        <f>IFERROR(AVERAGE('Precios  (2)'!$D14:$I14),0)</f>
        <v>1109709.333</v>
      </c>
      <c r="L14" s="34">
        <f>MAX('Precios  (2)'!$D14:$I14)</f>
        <v>1363866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2.75" customHeight="1">
      <c r="A15" s="31"/>
      <c r="B15" s="35" t="s">
        <v>45</v>
      </c>
      <c r="C15" s="36">
        <v>1.0</v>
      </c>
      <c r="D15" s="37">
        <v>662330.0</v>
      </c>
      <c r="E15" s="37">
        <v>310102.0</v>
      </c>
      <c r="F15" s="37">
        <v>422083.0</v>
      </c>
      <c r="G15" s="37"/>
      <c r="H15" s="37"/>
      <c r="I15" s="37"/>
      <c r="J15" s="30">
        <f t="shared" si="1"/>
        <v>310102</v>
      </c>
      <c r="K15" s="25">
        <f>IFERROR(AVERAGE('Precios  (2)'!$D15:$I15),0)</f>
        <v>464838.3333</v>
      </c>
      <c r="L15" s="26">
        <f>MAX('Precios  (2)'!$D15:$I15)</f>
        <v>662330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2.75" customHeight="1">
      <c r="A16" s="31"/>
      <c r="B16" s="35" t="s">
        <v>46</v>
      </c>
      <c r="C16" s="36">
        <v>1.0</v>
      </c>
      <c r="D16" s="37">
        <v>139468.0</v>
      </c>
      <c r="E16" s="37">
        <v>60095.0</v>
      </c>
      <c r="F16" s="37">
        <v>100436.0</v>
      </c>
      <c r="G16" s="37"/>
      <c r="H16" s="37"/>
      <c r="I16" s="37"/>
      <c r="J16" s="30">
        <f t="shared" si="1"/>
        <v>60095</v>
      </c>
      <c r="K16" s="25">
        <f>IFERROR(AVERAGE('Precios  (2)'!$D16:$I16),0)</f>
        <v>99999.66667</v>
      </c>
      <c r="L16" s="26">
        <f>MAX('Precios  (2)'!$D16:$I16)</f>
        <v>139468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2.75" customHeight="1">
      <c r="A17" s="31"/>
      <c r="B17" s="35" t="s">
        <v>47</v>
      </c>
      <c r="C17" s="36">
        <v>1.0</v>
      </c>
      <c r="D17" s="37">
        <v>23900.0</v>
      </c>
      <c r="E17" s="37">
        <v>93000.0</v>
      </c>
      <c r="F17" s="37">
        <v>138674.0</v>
      </c>
      <c r="G17" s="37"/>
      <c r="H17" s="37"/>
      <c r="I17" s="37"/>
      <c r="J17" s="30">
        <f t="shared" si="1"/>
        <v>23900</v>
      </c>
      <c r="K17" s="33">
        <f>IFERROR(AVERAGE('Precios  (2)'!$D17:$I17),0)</f>
        <v>85191.33333</v>
      </c>
      <c r="L17" s="34">
        <f>MAX('Precios  (2)'!$D17:$I17)</f>
        <v>138674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2.75" customHeight="1">
      <c r="A18" s="31"/>
      <c r="B18" s="19" t="s">
        <v>48</v>
      </c>
      <c r="C18" s="38">
        <v>1.0</v>
      </c>
      <c r="D18" s="39">
        <v>0.0</v>
      </c>
      <c r="E18" s="39">
        <v>3375506.0</v>
      </c>
      <c r="F18" s="39">
        <v>0.0</v>
      </c>
      <c r="G18" s="39"/>
      <c r="H18" s="21"/>
      <c r="I18" s="40"/>
      <c r="J18" s="30">
        <f t="shared" si="1"/>
        <v>0</v>
      </c>
      <c r="K18" s="25">
        <f>IFERROR(AVERAGE('Precios  (2)'!$D18:$I18),0)</f>
        <v>1125168.667</v>
      </c>
      <c r="L18" s="26">
        <f>MAX('Precios  (2)'!$D18:$I18)</f>
        <v>3375506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2.75" customHeight="1">
      <c r="A19" s="31"/>
      <c r="B19" s="19" t="s">
        <v>49</v>
      </c>
      <c r="C19" s="38">
        <v>1.0</v>
      </c>
      <c r="D19" s="78">
        <v>0.0</v>
      </c>
      <c r="E19" s="39">
        <v>668127.0</v>
      </c>
      <c r="F19" s="39">
        <v>960021.0</v>
      </c>
      <c r="G19" s="39"/>
      <c r="H19" s="21"/>
      <c r="I19" s="40"/>
      <c r="J19" s="30">
        <f t="shared" si="1"/>
        <v>0</v>
      </c>
      <c r="K19" s="25">
        <f>IFERROR(AVERAGE('Precios  (2)'!$D19:$I19),0)</f>
        <v>542716</v>
      </c>
      <c r="L19" s="26">
        <f>MAX('Precios  (2)'!$D19:$I19)</f>
        <v>960021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2.75" customHeight="1">
      <c r="A20" s="31"/>
      <c r="B20" s="19" t="s">
        <v>23</v>
      </c>
      <c r="C20" s="38">
        <v>1.0</v>
      </c>
      <c r="D20" s="39">
        <v>51158.0</v>
      </c>
      <c r="E20" s="39">
        <v>99001.0</v>
      </c>
      <c r="F20" s="39">
        <v>56525.0</v>
      </c>
      <c r="G20" s="39"/>
      <c r="H20" s="21"/>
      <c r="I20" s="40"/>
      <c r="J20" s="30">
        <f t="shared" si="1"/>
        <v>51158</v>
      </c>
      <c r="K20" s="25">
        <f>IFERROR(AVERAGE('Precios  (2)'!$D20:$I20),0)</f>
        <v>68894.66667</v>
      </c>
      <c r="L20" s="26">
        <f>MAX('Precios  (2)'!$D20:$I20)</f>
        <v>99001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2.75" customHeight="1">
      <c r="A21" s="31"/>
      <c r="B21" s="19" t="s">
        <v>50</v>
      </c>
      <c r="C21" s="38">
        <v>1.0</v>
      </c>
      <c r="D21" s="78">
        <v>0.0</v>
      </c>
      <c r="E21" s="78">
        <v>4666832.0</v>
      </c>
      <c r="F21" s="78">
        <v>1790434.0</v>
      </c>
      <c r="G21" s="39"/>
      <c r="H21" s="21"/>
      <c r="I21" s="40"/>
      <c r="J21" s="30">
        <f t="shared" si="1"/>
        <v>0</v>
      </c>
      <c r="K21" s="25">
        <f>IFERROR(AVERAGE('Precios  (2)'!$D21:$I21),0)</f>
        <v>2152422</v>
      </c>
      <c r="L21" s="26">
        <f>MAX('Precios  (2)'!$D21:$I21)</f>
        <v>4666832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2.75" customHeight="1">
      <c r="A22" s="31"/>
      <c r="B22" s="21"/>
      <c r="C22" s="38"/>
      <c r="D22" s="39"/>
      <c r="E22" s="39"/>
      <c r="F22" s="39"/>
      <c r="G22" s="39"/>
      <c r="H22" s="21"/>
      <c r="I22" s="40"/>
      <c r="J22" s="32" t="str">
        <f>H23</f>
        <v/>
      </c>
      <c r="K22" s="25"/>
      <c r="L22" s="26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2.75" customHeight="1">
      <c r="A23" s="31"/>
      <c r="B23" s="21"/>
      <c r="C23" s="38"/>
      <c r="D23" s="39"/>
      <c r="E23" s="39"/>
      <c r="F23" s="39"/>
      <c r="G23" s="39"/>
      <c r="H23" s="21"/>
      <c r="I23" s="40"/>
      <c r="J23" s="32">
        <f>SUM(J9:J21)</f>
        <v>9310455</v>
      </c>
      <c r="K23" s="25">
        <f t="shared" ref="K23:L23" si="2">SUM(K6:K21)</f>
        <v>16432554</v>
      </c>
      <c r="L23" s="26">
        <f t="shared" si="2"/>
        <v>25645136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2.75" customHeight="1">
      <c r="A24" s="31"/>
      <c r="B24" s="21"/>
      <c r="C24" s="38"/>
      <c r="D24" s="39"/>
      <c r="E24" s="39"/>
      <c r="F24" s="39"/>
      <c r="G24" s="39"/>
      <c r="H24" s="21"/>
      <c r="I24" s="40"/>
      <c r="J24" s="32"/>
      <c r="K24" s="25"/>
      <c r="L24" s="26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2.75" customHeight="1">
      <c r="A25" s="31"/>
      <c r="B25" s="41" t="s">
        <v>24</v>
      </c>
      <c r="C25" s="41"/>
      <c r="D25" s="42">
        <f>ROUND(SUMPRODUCT('Precios  (2)'!$C$9:$C$24,'Precios  (2)'!$D$9:$D$24),2)</f>
        <v>10451491</v>
      </c>
      <c r="E25" s="42">
        <f>ROUND(SUMPRODUCT('Precios  (2)'!$C$9:$C$24,'Precios  (2)'!$E$9:$E$24),2)</f>
        <v>21304168</v>
      </c>
      <c r="F25" s="42">
        <f>ROUND(SUMPRODUCT('Precios  (2)'!$C$9:$C$24,'Precios  (2)'!$F$9:$F$24),2)</f>
        <v>17542003</v>
      </c>
      <c r="G25" s="42">
        <f>ROUND(SUMPRODUCT('Precios  (2)'!$C$9:$C$24,'Precios  (2)'!$G$9:$G$24),2)</f>
        <v>0</v>
      </c>
      <c r="H25" s="42">
        <f>ROUND(SUMPRODUCT('Precios  (2)'!$C$9:$C$24,'Precios  (2)'!$H$9:$H$24),2)</f>
        <v>0</v>
      </c>
      <c r="I25" s="42">
        <f>ROUND(SUMPRODUCT('Precios  (2)'!$C$9:$C$24,'Precios  (2)'!$I$9:$I$24),2)</f>
        <v>0</v>
      </c>
      <c r="J25" s="43"/>
      <c r="K25" s="43"/>
      <c r="L25" s="44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2.75" customHeight="1">
      <c r="A26" s="31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2.75" customHeight="1">
      <c r="A27" s="31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48.0" customHeight="1">
      <c r="A28" s="31"/>
      <c r="B28" s="45" t="s">
        <v>25</v>
      </c>
      <c r="C28" s="46"/>
      <c r="D28" s="47"/>
      <c r="E28" s="47"/>
      <c r="F28" s="47"/>
      <c r="G28" s="47"/>
      <c r="H28" s="47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33.0" customHeight="1">
      <c r="A29" s="31"/>
      <c r="B29" s="48" t="s">
        <v>26</v>
      </c>
      <c r="C29" s="49"/>
      <c r="D29" s="79"/>
      <c r="E29" s="54"/>
      <c r="F29" s="54"/>
      <c r="G29" s="54"/>
      <c r="H29" s="54"/>
      <c r="I29" s="54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25.5" customHeight="1">
      <c r="A30" s="31"/>
      <c r="B30" s="48" t="s">
        <v>33</v>
      </c>
      <c r="C30" s="49"/>
      <c r="D30" s="80"/>
      <c r="E30" s="57"/>
      <c r="F30" s="57"/>
      <c r="G30" s="54"/>
      <c r="H30" s="57"/>
      <c r="I30" s="57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8.0" customHeight="1">
      <c r="A31" s="31"/>
      <c r="B31" s="59" t="s">
        <v>37</v>
      </c>
      <c r="C31" s="60"/>
      <c r="D31" s="61"/>
      <c r="E31" s="62"/>
      <c r="F31" s="62"/>
      <c r="G31" s="62"/>
      <c r="H31" s="62"/>
      <c r="I31" s="62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2.75" customHeight="1">
      <c r="A32" s="31"/>
      <c r="B32" s="63"/>
      <c r="C32" s="64"/>
      <c r="E32" s="81"/>
      <c r="F32" s="81"/>
      <c r="G32" s="81"/>
      <c r="H32" s="81"/>
      <c r="I32" s="8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2.75" customHeight="1">
      <c r="A33" s="31"/>
      <c r="B33" s="63"/>
      <c r="C33" s="64"/>
      <c r="D33" s="65"/>
      <c r="E33" s="82"/>
      <c r="F33" s="82"/>
      <c r="G33" s="82"/>
      <c r="H33" s="82"/>
      <c r="I33" s="82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2.75" customHeight="1">
      <c r="A34" s="5"/>
      <c r="B34" s="68"/>
      <c r="C34" s="69"/>
      <c r="D34" s="83"/>
      <c r="E34" s="72"/>
      <c r="F34" s="72"/>
      <c r="G34" s="72"/>
      <c r="H34" s="72"/>
      <c r="I34" s="72"/>
      <c r="J34" s="3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73"/>
      <c r="E37" s="73"/>
      <c r="F37" s="74"/>
      <c r="G37" s="75"/>
      <c r="H37" s="76"/>
      <c r="I37" s="73"/>
      <c r="J37" s="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73"/>
      <c r="E38" s="73"/>
      <c r="F38" s="74"/>
      <c r="G38" s="77"/>
      <c r="H38" s="76"/>
      <c r="I38" s="73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73"/>
      <c r="E39" s="73"/>
      <c r="F39" s="74"/>
      <c r="G39" s="77"/>
      <c r="H39" s="76"/>
      <c r="I39" s="73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73"/>
      <c r="E40" s="73"/>
      <c r="F40" s="74"/>
      <c r="G40" s="77"/>
      <c r="H40" s="76"/>
      <c r="I40" s="73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73"/>
      <c r="E41" s="73"/>
      <c r="F41" s="74"/>
      <c r="G41" s="77"/>
      <c r="H41" s="76"/>
      <c r="I41" s="73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73"/>
      <c r="E42" s="73"/>
      <c r="F42" s="74"/>
      <c r="G42" s="77"/>
      <c r="H42" s="76"/>
      <c r="I42" s="73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J7:L7"/>
    <mergeCell ref="B28:C28"/>
    <mergeCell ref="B29:C29"/>
    <mergeCell ref="B30:C30"/>
    <mergeCell ref="B31:C34"/>
  </mergeCells>
  <conditionalFormatting sqref="B8:C8">
    <cfRule type="expression" dxfId="0" priority="1">
      <formula>AND(B$25=MIN($D$25:$I$25),B$25&lt;&gt;0)</formula>
    </cfRule>
  </conditionalFormatting>
  <conditionalFormatting sqref="D8:I8 D25:I25">
    <cfRule type="expression" dxfId="0" priority="2">
      <formula>AND(D$25=MIN($D$25:$I$25),D$25&lt;&gt;0)</formula>
    </cfRule>
  </conditionalFormatting>
  <conditionalFormatting sqref="D9:I24">
    <cfRule type="expression" dxfId="1" priority="3">
      <formula>AND(D$25=MIN($D$25:$I$25),D$25&lt;&gt;0)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  <col customWidth="1" min="10" max="26" width="12.0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84" t="s">
        <v>51</v>
      </c>
      <c r="C7" s="85">
        <v>1.0</v>
      </c>
      <c r="D7" s="84">
        <v>498.0</v>
      </c>
      <c r="E7" s="84">
        <v>420.0</v>
      </c>
      <c r="F7" s="84">
        <v>450.0</v>
      </c>
      <c r="G7" s="84">
        <v>230.0</v>
      </c>
      <c r="H7" s="84">
        <v>600.0</v>
      </c>
      <c r="I7" s="84">
        <v>520.0</v>
      </c>
    </row>
    <row r="8" ht="11.25" customHeight="1">
      <c r="B8" s="84" t="s">
        <v>52</v>
      </c>
      <c r="C8" s="85">
        <v>2.0</v>
      </c>
      <c r="D8" s="84">
        <v>450.0</v>
      </c>
      <c r="E8" s="84">
        <v>220.0</v>
      </c>
      <c r="F8" s="84">
        <v>405.0</v>
      </c>
      <c r="G8" s="84">
        <v>495.0</v>
      </c>
      <c r="H8" s="84">
        <v>540.0</v>
      </c>
      <c r="I8" s="84">
        <v>200.0</v>
      </c>
    </row>
    <row r="9" ht="11.25" customHeight="1">
      <c r="B9" s="84" t="s">
        <v>53</v>
      </c>
      <c r="C9" s="85">
        <v>2.0</v>
      </c>
      <c r="D9" s="84">
        <v>650.0</v>
      </c>
      <c r="E9" s="84">
        <v>620.0</v>
      </c>
      <c r="F9" s="84">
        <v>666.0</v>
      </c>
      <c r="G9" s="84">
        <v>400.0</v>
      </c>
      <c r="H9" s="84">
        <v>648.0</v>
      </c>
      <c r="I9" s="84">
        <v>452.4</v>
      </c>
    </row>
    <row r="10" ht="11.25" customHeight="1">
      <c r="B10" s="84" t="s">
        <v>54</v>
      </c>
      <c r="C10" s="85">
        <v>1.0</v>
      </c>
      <c r="D10" s="84">
        <v>585.0</v>
      </c>
      <c r="E10" s="84">
        <v>558.0</v>
      </c>
      <c r="F10" s="84">
        <v>320.0</v>
      </c>
      <c r="G10" s="84">
        <v>360.0</v>
      </c>
      <c r="H10" s="84">
        <v>583.2</v>
      </c>
      <c r="I10" s="84">
        <v>407.16</v>
      </c>
    </row>
    <row r="11" ht="11.25" customHeight="1">
      <c r="B11" s="84" t="s">
        <v>55</v>
      </c>
      <c r="C11" s="85">
        <v>3.0</v>
      </c>
      <c r="D11" s="84">
        <v>526.5</v>
      </c>
      <c r="E11" s="84">
        <v>502.2</v>
      </c>
      <c r="F11" s="84">
        <v>539.46</v>
      </c>
      <c r="G11" s="84">
        <v>300.0</v>
      </c>
      <c r="H11" s="84">
        <v>500.0</v>
      </c>
      <c r="I11" s="84">
        <v>366.44</v>
      </c>
    </row>
    <row r="12" ht="11.25" customHeight="1">
      <c r="B12" s="84" t="s">
        <v>56</v>
      </c>
      <c r="C12" s="85">
        <v>1.0</v>
      </c>
      <c r="D12" s="84">
        <v>473.8</v>
      </c>
      <c r="E12" s="84">
        <v>200.0</v>
      </c>
      <c r="F12" s="84">
        <v>485.51</v>
      </c>
      <c r="G12" s="84">
        <v>291.6</v>
      </c>
      <c r="H12" s="84">
        <v>270.0</v>
      </c>
      <c r="I12" s="84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79">
        <v>30.0</v>
      </c>
      <c r="E19" s="54">
        <v>10.0</v>
      </c>
      <c r="F19" s="54">
        <v>15.0</v>
      </c>
      <c r="G19" s="54">
        <v>15.0</v>
      </c>
      <c r="H19" s="54">
        <v>15.0</v>
      </c>
      <c r="I19" s="54">
        <v>10.0</v>
      </c>
    </row>
    <row r="20" ht="11.25" customHeight="1">
      <c r="D20" s="80">
        <v>10.0</v>
      </c>
      <c r="E20" s="57">
        <v>10.0</v>
      </c>
      <c r="F20" s="57">
        <v>10.0</v>
      </c>
      <c r="G20" s="54" t="s">
        <v>57</v>
      </c>
      <c r="H20" s="57">
        <v>5.0</v>
      </c>
      <c r="I20" s="57" t="s">
        <v>57</v>
      </c>
    </row>
    <row r="21" ht="11.25" customHeight="1">
      <c r="D21" s="61" t="s">
        <v>58</v>
      </c>
      <c r="E21" s="62" t="s">
        <v>58</v>
      </c>
      <c r="F21" s="62" t="s">
        <v>59</v>
      </c>
      <c r="G21" s="62" t="s">
        <v>60</v>
      </c>
      <c r="H21" s="62" t="s">
        <v>59</v>
      </c>
      <c r="I21" s="62" t="s">
        <v>59</v>
      </c>
    </row>
    <row r="22" ht="11.25" customHeight="1">
      <c r="D22" s="65" t="s">
        <v>61</v>
      </c>
      <c r="E22" s="81" t="s">
        <v>61</v>
      </c>
      <c r="F22" s="81" t="s">
        <v>62</v>
      </c>
      <c r="G22" s="81" t="s">
        <v>59</v>
      </c>
      <c r="H22" s="81" t="s">
        <v>62</v>
      </c>
      <c r="I22" s="81" t="s">
        <v>62</v>
      </c>
    </row>
    <row r="23" ht="11.25" customHeight="1">
      <c r="D23" s="67"/>
      <c r="E23" s="82"/>
      <c r="F23" s="82"/>
      <c r="G23" s="82"/>
      <c r="H23" s="82"/>
      <c r="I23" s="82"/>
    </row>
    <row r="24" ht="11.25" customHeight="1">
      <c r="D24" s="83"/>
      <c r="E24" s="72"/>
      <c r="F24" s="72"/>
      <c r="G24" s="72"/>
      <c r="H24" s="72"/>
      <c r="I24" s="72"/>
    </row>
    <row r="25" ht="11.25" customHeight="1"/>
    <row r="26" ht="11.25" customHeight="1"/>
    <row r="27" ht="11.25" customHeight="1"/>
    <row r="28" ht="11.25" customHeight="1">
      <c r="B28" s="84" t="s">
        <v>63</v>
      </c>
      <c r="C28" s="85">
        <v>1.0</v>
      </c>
      <c r="D28" s="84">
        <v>340.0</v>
      </c>
      <c r="E28" s="84">
        <v>330.0</v>
      </c>
      <c r="F28" s="84">
        <v>440.0</v>
      </c>
      <c r="G28" s="84">
        <v>400.0</v>
      </c>
      <c r="H28" s="84">
        <v>320.0</v>
      </c>
      <c r="I28" s="84">
        <v>330.0</v>
      </c>
    </row>
    <row r="29" ht="11.25" customHeight="1">
      <c r="B29" s="84" t="s">
        <v>64</v>
      </c>
      <c r="C29" s="85">
        <v>1.0</v>
      </c>
      <c r="D29" s="84">
        <v>220.0</v>
      </c>
      <c r="E29" s="84">
        <v>230.0</v>
      </c>
      <c r="F29" s="84">
        <v>240.0</v>
      </c>
      <c r="G29" s="84">
        <v>220.0</v>
      </c>
      <c r="H29" s="84">
        <v>219.0</v>
      </c>
      <c r="I29" s="84">
        <v>218.0</v>
      </c>
    </row>
    <row r="30" ht="11.25" customHeight="1">
      <c r="B30" s="84" t="s">
        <v>65</v>
      </c>
      <c r="C30" s="85">
        <v>2.0</v>
      </c>
      <c r="D30" s="84">
        <v>560.0</v>
      </c>
      <c r="E30" s="84">
        <v>580.0</v>
      </c>
      <c r="F30" s="84">
        <v>550.0</v>
      </c>
      <c r="G30" s="84">
        <v>520.0</v>
      </c>
      <c r="H30" s="84">
        <v>551.0</v>
      </c>
      <c r="I30" s="84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86" t="s">
        <v>66</v>
      </c>
    </row>
    <row r="36" ht="11.25" customHeight="1">
      <c r="B36" s="87">
        <v>250.0</v>
      </c>
    </row>
    <row r="37" ht="11.25" customHeight="1">
      <c r="B37" s="88">
        <v>440.0</v>
      </c>
    </row>
    <row r="38" ht="11.25" customHeight="1">
      <c r="B38" s="88">
        <v>440.0</v>
      </c>
    </row>
    <row r="39" ht="11.25" customHeight="1">
      <c r="B39" s="88">
        <v>350.0</v>
      </c>
    </row>
    <row r="40" ht="11.25" customHeight="1">
      <c r="B40" s="88">
        <v>420.0</v>
      </c>
    </row>
    <row r="41" ht="11.25" customHeight="1">
      <c r="B41" s="88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2013-10-17T12:18:53Z</dcterms:created>
  <dc:creator>Planilla excel</dc:creator>
</cp:coreProperties>
</file>